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LYANI PATIL\Documents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3" i="1"/>
  <c r="D3" i="1" s="1"/>
  <c r="C4" i="1"/>
  <c r="D4" i="1" s="1"/>
  <c r="C5" i="1"/>
  <c r="D5" i="1" s="1"/>
  <c r="C6" i="1"/>
  <c r="D6" i="1" s="1"/>
  <c r="C7" i="1"/>
  <c r="C8" i="1"/>
  <c r="D8" i="1" s="1"/>
  <c r="C9" i="1"/>
  <c r="D9" i="1" s="1"/>
  <c r="C10" i="1"/>
  <c r="D10" i="1" s="1"/>
  <c r="C11" i="1"/>
  <c r="D11" i="1" s="1"/>
  <c r="C12" i="1"/>
  <c r="D12" i="1" s="1"/>
  <c r="C2" i="1"/>
  <c r="D2" i="1" s="1"/>
  <c r="A2" i="1"/>
</calcChain>
</file>

<file path=xl/sharedStrings.xml><?xml version="1.0" encoding="utf-8"?>
<sst xmlns="http://schemas.openxmlformats.org/spreadsheetml/2006/main" count="4" uniqueCount="4">
  <si>
    <t>load current(mA)</t>
  </si>
  <si>
    <t>load current(A)</t>
  </si>
  <si>
    <t>load resistance (k ohm)</t>
  </si>
  <si>
    <t>1/IL(A^-1)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</si>
</sst>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494624773638689E-2"/>
                  <c:y val="-0.196786588829090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Sheet1!$D$2:$D$12</c:f>
              <c:numCache>
                <c:formatCode>General</c:formatCode>
                <c:ptCount val="11"/>
                <c:pt idx="0">
                  <c:v>135.50135501355012</c:v>
                </c:pt>
                <c:pt idx="1">
                  <c:v>276.24309392265195</c:v>
                </c:pt>
                <c:pt idx="2">
                  <c:v>416.66666666666669</c:v>
                </c:pt>
                <c:pt idx="3">
                  <c:v>558.65921787709487</c:v>
                </c:pt>
                <c:pt idx="4">
                  <c:v>699.30069930069942</c:v>
                </c:pt>
                <c:pt idx="5">
                  <c:v>840.3361344537816</c:v>
                </c:pt>
                <c:pt idx="6">
                  <c:v>980.39215686274508</c:v>
                </c:pt>
                <c:pt idx="7">
                  <c:v>1123.5955056179776</c:v>
                </c:pt>
                <c:pt idx="8">
                  <c:v>1265.8227848101264</c:v>
                </c:pt>
                <c:pt idx="9">
                  <c:v>1408.4507042253522</c:v>
                </c:pt>
                <c:pt idx="10">
                  <c:v>1538.4615384615386</c:v>
                </c:pt>
              </c:numCache>
            </c:numRef>
          </c:xVal>
          <c:yVal>
            <c:numRef>
              <c:f>Sheet1!$E$2:$E$12</c:f>
              <c:numCache>
                <c:formatCode>General</c:formatCode>
                <c:ptCount val="1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897888"/>
        <c:axId val="238897496"/>
      </c:scatterChart>
      <c:valAx>
        <c:axId val="23889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97496"/>
        <c:crosses val="autoZero"/>
        <c:crossBetween val="midCat"/>
      </c:valAx>
      <c:valAx>
        <c:axId val="2388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89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342518</xdr:colOff>
      <xdr:row>4</xdr:row>
      <xdr:rowOff>122584</xdr:rowOff>
    </xdr:from>
    <xdr:to>
      <xdr:col>13</xdr:col>
      <xdr:colOff>34151</xdr:colOff>
      <xdr:row>19</xdr:row>
      <xdr:rowOff>140169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15" zoomScaleNormal="115" workbookViewId="0">
      <selection activeCell="M5" sqref="M5"/>
    </sheetView>
  </sheetViews>
  <sheetFormatPr defaultRowHeight="14.4" x14ac:dyDescent="0.3"/>
  <cols>
    <col min="1" max="1" width="20" bestFit="1" customWidth="1"/>
    <col min="2" max="2" width="14.77734375" bestFit="1" customWidth="1"/>
    <col min="3" max="3" width="13.66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</row>
    <row r="2" spans="1:5" x14ac:dyDescent="0.3">
      <c r="A2">
        <f ca="1">A2*1000</f>
        <v>0</v>
      </c>
      <c r="B2">
        <v>7.38</v>
      </c>
      <c r="C2" s="1">
        <f>B2/1000</f>
        <v>7.3800000000000003E-3</v>
      </c>
      <c r="D2">
        <f>1/C2</f>
        <v>135.50135501355012</v>
      </c>
      <c r="E2">
        <v>0</v>
      </c>
    </row>
    <row r="3" spans="1:5" x14ac:dyDescent="0.3">
      <c r="A3">
        <v>1000</v>
      </c>
      <c r="B3">
        <v>3.62</v>
      </c>
      <c r="C3" s="1">
        <f t="shared" ref="C3:C12" si="0">B3/1000</f>
        <v>3.62E-3</v>
      </c>
      <c r="D3">
        <f t="shared" ref="D3:D12" si="1">1/C3</f>
        <v>276.24309392265195</v>
      </c>
      <c r="E3">
        <v>1000</v>
      </c>
    </row>
    <row r="4" spans="1:5" x14ac:dyDescent="0.3">
      <c r="A4">
        <v>2000</v>
      </c>
      <c r="B4">
        <v>2.4</v>
      </c>
      <c r="C4" s="1">
        <f t="shared" si="0"/>
        <v>2.3999999999999998E-3</v>
      </c>
      <c r="D4">
        <f t="shared" si="1"/>
        <v>416.66666666666669</v>
      </c>
      <c r="E4">
        <v>2000</v>
      </c>
    </row>
    <row r="5" spans="1:5" x14ac:dyDescent="0.3">
      <c r="A5">
        <v>3000</v>
      </c>
      <c r="B5">
        <v>1.79</v>
      </c>
      <c r="C5" s="1">
        <f t="shared" si="0"/>
        <v>1.7900000000000001E-3</v>
      </c>
      <c r="D5">
        <f t="shared" si="1"/>
        <v>558.65921787709487</v>
      </c>
      <c r="E5">
        <v>3000</v>
      </c>
    </row>
    <row r="6" spans="1:5" x14ac:dyDescent="0.3">
      <c r="A6">
        <v>4000</v>
      </c>
      <c r="B6">
        <v>1.43</v>
      </c>
      <c r="C6" s="1">
        <f t="shared" si="0"/>
        <v>1.4299999999999998E-3</v>
      </c>
      <c r="D6">
        <f t="shared" si="1"/>
        <v>699.30069930069942</v>
      </c>
      <c r="E6">
        <v>4000</v>
      </c>
    </row>
    <row r="7" spans="1:5" x14ac:dyDescent="0.3">
      <c r="A7">
        <v>5000</v>
      </c>
      <c r="B7">
        <v>1.19</v>
      </c>
      <c r="C7" s="1">
        <f t="shared" si="0"/>
        <v>1.1899999999999999E-3</v>
      </c>
      <c r="D7">
        <f t="shared" si="1"/>
        <v>840.3361344537816</v>
      </c>
      <c r="E7">
        <v>5000</v>
      </c>
    </row>
    <row r="8" spans="1:5" x14ac:dyDescent="0.3">
      <c r="A8">
        <v>6000</v>
      </c>
      <c r="B8">
        <v>1.02</v>
      </c>
      <c r="C8" s="1">
        <f t="shared" si="0"/>
        <v>1.0200000000000001E-3</v>
      </c>
      <c r="D8">
        <f t="shared" si="1"/>
        <v>980.39215686274508</v>
      </c>
      <c r="E8">
        <v>6000</v>
      </c>
    </row>
    <row r="9" spans="1:5" x14ac:dyDescent="0.3">
      <c r="A9">
        <v>7000</v>
      </c>
      <c r="B9">
        <v>0.89</v>
      </c>
      <c r="C9" s="1">
        <f t="shared" si="0"/>
        <v>8.9000000000000006E-4</v>
      </c>
      <c r="D9">
        <f t="shared" si="1"/>
        <v>1123.5955056179776</v>
      </c>
      <c r="E9">
        <v>7000</v>
      </c>
    </row>
    <row r="10" spans="1:5" x14ac:dyDescent="0.3">
      <c r="A10">
        <v>8000</v>
      </c>
      <c r="B10">
        <v>0.79</v>
      </c>
      <c r="C10" s="1">
        <f t="shared" si="0"/>
        <v>7.9000000000000001E-4</v>
      </c>
      <c r="D10">
        <f t="shared" si="1"/>
        <v>1265.8227848101264</v>
      </c>
      <c r="E10">
        <v>8000</v>
      </c>
    </row>
    <row r="11" spans="1:5" x14ac:dyDescent="0.3">
      <c r="A11">
        <v>9000</v>
      </c>
      <c r="B11">
        <v>0.71</v>
      </c>
      <c r="C11" s="1">
        <f t="shared" si="0"/>
        <v>7.0999999999999991E-4</v>
      </c>
      <c r="D11">
        <f t="shared" si="1"/>
        <v>1408.4507042253522</v>
      </c>
      <c r="E11">
        <v>9000</v>
      </c>
    </row>
    <row r="12" spans="1:5" x14ac:dyDescent="0.3">
      <c r="A12">
        <v>10000</v>
      </c>
      <c r="B12">
        <v>0.65</v>
      </c>
      <c r="C12" s="1">
        <f t="shared" si="0"/>
        <v>6.4999999999999997E-4</v>
      </c>
      <c r="D12">
        <f t="shared" si="1"/>
        <v>1538.4615384615386</v>
      </c>
      <c r="E12">
        <v>10000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PATIL</dc:creator>
  <cp:lastModifiedBy>KALYANI PATIL</cp:lastModifiedBy>
  <dcterms:created xsi:type="dcterms:W3CDTF">2025-11-29T08:14:28Z</dcterms:created>
  <dcterms:modified xsi:type="dcterms:W3CDTF">2025-12-19T09:00:45Z</dcterms:modified>
</cp:coreProperties>
</file>